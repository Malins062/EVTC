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Мои документы\ЭВАКУАЦИЯ\"/>
    </mc:Choice>
  </mc:AlternateContent>
  <workbookProtection lockStructure="1"/>
  <bookViews>
    <workbookView xWindow="0" yWindow="0" windowWidth="20496" windowHeight="7152"/>
  </bookViews>
  <sheets>
    <sheet name="Управление" sheetId="14" r:id="rId1"/>
    <sheet name="Настройки" sheetId="18" r:id="rId2"/>
    <sheet name="Справочники" sheetId="15" r:id="rId3"/>
    <sheet name="Автозамена ПОСТАНОВЛЕНИЕ" sheetId="16" r:id="rId4"/>
    <sheet name="Автозамена ПРОТОКОЛ" sheetId="17" r:id="rId5"/>
  </sheets>
  <functionGroups builtInGroupCount="18"/>
  <definedNames>
    <definedName name="Статьи">Справочники!$A$3:$A$14</definedName>
    <definedName name="Фабула">Управление!$I$4</definedName>
  </definedNames>
  <calcPr calcId="152511"/>
</workbook>
</file>

<file path=xl/calcChain.xml><?xml version="1.0" encoding="utf-8"?>
<calcChain xmlns="http://schemas.openxmlformats.org/spreadsheetml/2006/main">
  <c r="K4" i="14" l="1"/>
  <c r="J4" i="14"/>
  <c r="I4" i="14"/>
  <c r="B8" i="17" l="1"/>
  <c r="B8" i="16"/>
</calcChain>
</file>

<file path=xl/sharedStrings.xml><?xml version="1.0" encoding="utf-8"?>
<sst xmlns="http://schemas.openxmlformats.org/spreadsheetml/2006/main" count="77" uniqueCount="66">
  <si>
    <t>Автозамена текстовых данных для постановлений и протоколов</t>
  </si>
  <si>
    <t>Что ищем</t>
  </si>
  <si>
    <t>На что меняем</t>
  </si>
  <si>
    <t xml:space="preserve">Рязань, ул Солнечная / Рязань., д.1, , </t>
  </si>
  <si>
    <t xml:space="preserve">ПДД РФ, а именно , </t>
  </si>
  <si>
    <t>в суд в течение 10 суток.</t>
  </si>
  <si>
    <t>Смягчающие обстоятельства</t>
  </si>
  <si>
    <t>Отягчающие обстоятельства</t>
  </si>
  <si>
    <t>нет</t>
  </si>
  <si>
    <t>допустил(а) остановку своего автомобиля на тротуаре при отсутствии дорожного знака 6.4 «Парковка (парковочное место)» с одной из табличек 8.4.7, 8.6.2, 8.6.3, 8.6.6-8.6.9,</t>
  </si>
  <si>
    <t xml:space="preserve">допустил(а) стоянку своего автомобиля, на котором не установлен опознавательный знак «Инвалид», в зоне действия запрещающего дорожного знака 3.28 «Стоянка запрещена» с табличкой 8.24 «Работает эвакуатор», </t>
  </si>
  <si>
    <t>допустил(а) стоянку своего автомобиля, на котором не установлен опознавательный знак «Инвалид», в зоне действия запрещающего дорожного знака 3.29 «Стоянка запрещена по нечетным числам месяца» с табличкой 8.24 «Работает эвакуатор»,</t>
  </si>
  <si>
    <t>допустил(а) стоянку своего автомобиля, на котором не установлен опознавательный знак «Инвалид», в зоне действия запрещающего дорожного знака 3.30 «Стоянка запрещена по четным числам месяца» с табличкой 8.24 «Работает эвакуатор»,</t>
  </si>
  <si>
    <t>допустил(а) стоянку своего автомобиля в месте отведенном для стоянки транспортных средств инвалидов, обозначенного знаком 6.4 «парковка», с табличкой 8.17 «инвалиды»,</t>
  </si>
  <si>
    <t>допустил(а) остановку/стоянку своего автомобиля далее первого ряда от края проезжей части,</t>
  </si>
  <si>
    <t xml:space="preserve">допустил(а) остановку/стоянку своего автомобиля на проезжей части, которое повлекло создание препятствий для движения других транспортных средств,                                                                </t>
  </si>
  <si>
    <t>В соответствии с ч.11 ст.27.13. КоАП РФ лицо, привлеченное к административной ответственности за административное правонарушение, повлекшее задержание транспортного средства, обязано оплатить стоимость перемещения и хранения задержанного транспортного средства.</t>
  </si>
  <si>
    <t>Справоник фабул статей КоАП РФ</t>
  </si>
  <si>
    <t>Статья</t>
  </si>
  <si>
    <t>Фабула</t>
  </si>
  <si>
    <t>допустил(а) остановку своего автомобиля на пешеходном переходе,</t>
  </si>
  <si>
    <t>допустил(а) остановку своего автомобиля в месте остановки маршрутных т/с,</t>
  </si>
  <si>
    <t>допустил(а) остановку своего автомобиля в зоне действия запрещающего дорожного знака 3.27 «Остановка запрещена» совместно с табличкой 8.24 «Работает эвакуатор»,</t>
  </si>
  <si>
    <t>Выберите статью КоАП РФ:</t>
  </si>
  <si>
    <t>Фабула:</t>
  </si>
  <si>
    <t>12.19 ч.3 тротуар (п.п. 12.2) - 1000 т.р.</t>
  </si>
  <si>
    <t>12.19 ч.3 НА пешеходнике (п.п. 12.4) - 1000 т.р.</t>
  </si>
  <si>
    <t>12.19 ч.3 РЯДОМ с пешеходником (п.п. 12.4) - 1000 т.р.</t>
  </si>
  <si>
    <t>12.16 ч.4 дорожный знак 3.28 - 1500 т.р.</t>
  </si>
  <si>
    <t>12.16 ч.4 дорожный знак 3.29 - 1500 т.р.</t>
  </si>
  <si>
    <t>12.16 ч.4 дорожный знак 3.30 - 1500 т.р.</t>
  </si>
  <si>
    <t>12.19 ч.2  Инвалид (п.п. 1.3) - 5000 т.р.</t>
  </si>
  <si>
    <t>12.19 ч.3.2 Второй ряд (п.п. 12.2) - 1500 т.р.</t>
  </si>
  <si>
    <t>12.19 ч.4 Препятствие (п.п. 12.4) - 2000 т.р.</t>
  </si>
  <si>
    <t>12.19 ч.3.1 НА ООТ (п.п. 12.4) - 1000 т.р.</t>
  </si>
  <si>
    <t>12.19 ч.3.1 РЯДОМ с ООТ (п.п. 12.4) - 1000 т.р.</t>
  </si>
  <si>
    <t>Печатать документ:</t>
  </si>
  <si>
    <t>г.Рязань, ул.Солнечная, д.1, каб.105.</t>
  </si>
  <si>
    <t>Метры:</t>
  </si>
  <si>
    <t>допустил(а) остановку своего автомобиля ближе 5 метров перед пешеходном переходом</t>
  </si>
  <si>
    <t>допустил(а) остановку своего автомобиля ближе 15 метров от мест остановки маршрутных т/с</t>
  </si>
  <si>
    <t xml:space="preserve">административногоправонарушения </t>
  </si>
  <si>
    <t xml:space="preserve">административного правонарушения </t>
  </si>
  <si>
    <t xml:space="preserve">Постановление может быть обжаловано </t>
  </si>
  <si>
    <t>в суд в течение 10 суток. Ст.51 Конституции РФ мне разъяснена и понятна _______________.</t>
  </si>
  <si>
    <t xml:space="preserve">ч. 3.2 </t>
  </si>
  <si>
    <t>12.16 ч.4 дорожный знак 3.27 (п.п. 1.3) - 1500 т.р.</t>
  </si>
  <si>
    <t>Ходатайство по делу об АП</t>
  </si>
  <si>
    <t>не поступало</t>
  </si>
  <si>
    <t xml:space="preserve">административных правонарушениях </t>
  </si>
  <si>
    <t>даватьобъяснения,</t>
  </si>
  <si>
    <t>давать объяснения,</t>
  </si>
  <si>
    <t>К протоколу прилагается:</t>
  </si>
  <si>
    <t xml:space="preserve"> протокол о задержании транспортного средства №</t>
  </si>
  <si>
    <t>определяется федеральным законом.</t>
  </si>
  <si>
    <t xml:space="preserve">административныхправонарушениях </t>
  </si>
  <si>
    <t>правонарушении:  .</t>
  </si>
  <si>
    <t>правонарушении: г.Рязань, ул.Солнечная, д.1, каб.105.</t>
  </si>
  <si>
    <t>определяется законом.________</t>
  </si>
  <si>
    <t>Количество копий:</t>
  </si>
  <si>
    <t>Шаблон постановления ФИС-М:</t>
  </si>
  <si>
    <t>D:\Мои документы\Загрузки\post_msk.rtf</t>
  </si>
  <si>
    <t>Шаблон протокола ФИС-М:</t>
  </si>
  <si>
    <t>D:\Мои документы\Загрузки\prot_ob_ap_msk.rtf</t>
  </si>
  <si>
    <t xml:space="preserve">ч. 3.1 </t>
  </si>
  <si>
    <t>Версия 1.7 от 28.05.2020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</si>
</sst>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_);_(* \(#,##0\);_(* &quot;-&quot;_);_(@_)"/>
    <numFmt numFmtId="165" formatCode="_(* #,##0.00_);_(* \(#,##0.00\);_(* &quot;-&quot;??_);_(@_)"/>
  </numFmts>
  <fonts count="18" x14ac:knownFonts="1">
    <font>
      <sz val="10"/>
      <name val="Arial Cyr"/>
      <charset val="204"/>
    </font>
    <font>
      <b/>
      <sz val="10"/>
      <name val="Arial Cyr"/>
      <charset val="204"/>
    </font>
    <font>
      <sz val="10"/>
      <name val="Arial"/>
      <family val="2"/>
      <charset val="204"/>
    </font>
    <font>
      <sz val="8"/>
      <name val="Arial Cyr"/>
      <charset val="204"/>
    </font>
    <font>
      <sz val="12"/>
      <name val="Arial Cyr"/>
      <charset val="204"/>
    </font>
    <font>
      <sz val="14"/>
      <name val="Arial Cyr"/>
      <charset val="204"/>
    </font>
    <font>
      <b/>
      <sz val="14"/>
      <name val="Arial Cyr"/>
      <charset val="204"/>
    </font>
    <font>
      <b/>
      <sz val="18"/>
      <name val="Arial Cyr"/>
      <charset val="204"/>
    </font>
    <font>
      <sz val="14"/>
      <color theme="0" tint="-0.249977111117893"/>
      <name val="Arial Cyr"/>
      <charset val="204"/>
    </font>
    <font>
      <b/>
      <sz val="12"/>
      <name val="Arial Cyr"/>
      <charset val="204"/>
    </font>
    <font>
      <i/>
      <sz val="12"/>
      <name val="Arial Cyr"/>
      <charset val="204"/>
    </font>
    <font>
      <b/>
      <sz val="10"/>
      <color theme="0" tint="-0.34998626667073579"/>
      <name val="Arial Cyr"/>
      <charset val="204"/>
    </font>
    <font>
      <sz val="12"/>
      <color theme="0" tint="-0.14999847407452621"/>
      <name val="Arial Cyr"/>
      <charset val="204"/>
    </font>
    <font>
      <sz val="12"/>
      <color theme="0"/>
      <name val="Arial Cyr"/>
      <charset val="204"/>
    </font>
    <font>
      <b/>
      <sz val="10"/>
      <color theme="0" tint="-0.249977111117893"/>
      <name val="Arial Cyr"/>
      <charset val="204"/>
    </font>
    <font>
      <sz val="10"/>
      <color theme="0"/>
      <name val="Arial Cyr"/>
      <charset val="204"/>
    </font>
    <font>
      <sz val="8"/>
      <color rgb="FF000000"/>
      <name val="Segoe UI"/>
      <family val="2"/>
      <charset val="204"/>
    </font>
    <font>
      <i/>
      <sz val="8"/>
      <color theme="0"/>
      <name val="Courier New"/>
      <family val="3"/>
      <charset val="204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</cellStyleXfs>
  <cellXfs count="62">
    <xf numFmtId="0" fontId="0" fillId="0" borderId="0" xfId="0"/>
    <xf numFmtId="0" fontId="4" fillId="0" borderId="0" xfId="0" applyFont="1"/>
    <xf numFmtId="0" fontId="4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center" wrapText="1"/>
    </xf>
    <xf numFmtId="0" fontId="4" fillId="0" borderId="0" xfId="0" applyFont="1" applyAlignment="1">
      <alignment wrapText="1"/>
    </xf>
    <xf numFmtId="0" fontId="4" fillId="0" borderId="3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4" xfId="0" applyFont="1" applyBorder="1" applyAlignment="1">
      <alignment vertical="top" wrapText="1"/>
    </xf>
    <xf numFmtId="0" fontId="4" fillId="0" borderId="6" xfId="0" applyFont="1" applyBorder="1" applyAlignment="1">
      <alignment vertical="top" wrapText="1"/>
    </xf>
    <xf numFmtId="0" fontId="5" fillId="0" borderId="0" xfId="0" applyFont="1" applyAlignment="1">
      <alignment horizontal="right" vertical="center"/>
    </xf>
    <xf numFmtId="0" fontId="4" fillId="0" borderId="0" xfId="0" applyFont="1" applyAlignment="1">
      <alignment horizontal="right"/>
    </xf>
    <xf numFmtId="0" fontId="4" fillId="0" borderId="0" xfId="0" applyFont="1" applyAlignment="1">
      <alignment horizontal="right" vertical="top"/>
    </xf>
    <xf numFmtId="0" fontId="12" fillId="0" borderId="0" xfId="0" applyFont="1"/>
    <xf numFmtId="0" fontId="13" fillId="0" borderId="0" xfId="0" applyFont="1" applyAlignment="1">
      <alignment horizontal="right"/>
    </xf>
    <xf numFmtId="0" fontId="13" fillId="0" borderId="9" xfId="0" applyFont="1" applyFill="1" applyBorder="1" applyProtection="1">
      <protection locked="0"/>
    </xf>
    <xf numFmtId="0" fontId="10" fillId="2" borderId="9" xfId="0" applyNumberFormat="1" applyFont="1" applyFill="1" applyBorder="1" applyAlignment="1" applyProtection="1">
      <alignment horizontal="left" vertical="top" wrapText="1"/>
      <protection locked="0"/>
    </xf>
    <xf numFmtId="49" fontId="5" fillId="2" borderId="9" xfId="0" applyNumberFormat="1" applyFont="1" applyFill="1" applyBorder="1" applyProtection="1">
      <protection locked="0"/>
    </xf>
    <xf numFmtId="0" fontId="5" fillId="0" borderId="13" xfId="0" applyFont="1" applyBorder="1" applyAlignment="1" applyProtection="1">
      <alignment horizontal="left" vertical="top" wrapText="1"/>
      <protection locked="0"/>
    </xf>
    <xf numFmtId="0" fontId="5" fillId="0" borderId="4" xfId="0" applyFont="1" applyBorder="1" applyAlignment="1" applyProtection="1">
      <alignment horizontal="left" vertical="top" wrapText="1"/>
      <protection locked="0"/>
    </xf>
    <xf numFmtId="0" fontId="5" fillId="0" borderId="8" xfId="0" applyFont="1" applyBorder="1" applyAlignment="1" applyProtection="1">
      <alignment horizontal="left" vertical="top" wrapText="1"/>
      <protection locked="0"/>
    </xf>
    <xf numFmtId="0" fontId="4" fillId="0" borderId="12" xfId="0" applyFont="1" applyBorder="1" applyAlignment="1">
      <alignment horizontal="left" vertical="top"/>
    </xf>
    <xf numFmtId="0" fontId="4" fillId="0" borderId="13" xfId="0" applyFont="1" applyBorder="1" applyAlignment="1">
      <alignment horizontal="left" vertical="top" wrapText="1"/>
    </xf>
    <xf numFmtId="0" fontId="0" fillId="0" borderId="0" xfId="0" applyProtection="1"/>
    <xf numFmtId="0" fontId="5" fillId="0" borderId="3" xfId="0" applyFont="1" applyBorder="1" applyAlignment="1" applyProtection="1">
      <alignment horizontal="right" vertical="top"/>
    </xf>
    <xf numFmtId="0" fontId="5" fillId="0" borderId="4" xfId="0" applyFont="1" applyBorder="1" applyAlignment="1" applyProtection="1">
      <alignment horizontal="left" vertical="top"/>
    </xf>
    <xf numFmtId="0" fontId="5" fillId="0" borderId="0" xfId="0" applyFont="1" applyProtection="1"/>
    <xf numFmtId="0" fontId="0" fillId="0" borderId="3" xfId="0" applyBorder="1" applyAlignment="1" applyProtection="1">
      <alignment horizontal="right" vertical="top"/>
    </xf>
    <xf numFmtId="0" fontId="0" fillId="0" borderId="4" xfId="0" applyBorder="1" applyAlignment="1" applyProtection="1">
      <alignment horizontal="left" vertical="top"/>
    </xf>
    <xf numFmtId="0" fontId="5" fillId="0" borderId="10" xfId="0" applyFont="1" applyBorder="1" applyAlignment="1" applyProtection="1">
      <alignment horizontal="right" vertical="top"/>
    </xf>
    <xf numFmtId="0" fontId="5" fillId="0" borderId="11" xfId="0" applyFont="1" applyBorder="1" applyAlignment="1" applyProtection="1">
      <alignment horizontal="left" vertical="top"/>
    </xf>
    <xf numFmtId="0" fontId="6" fillId="0" borderId="14" xfId="0" applyFont="1" applyBorder="1" applyAlignment="1" applyProtection="1">
      <alignment horizontal="right" vertical="top"/>
    </xf>
    <xf numFmtId="0" fontId="6" fillId="0" borderId="15" xfId="0" applyFont="1" applyBorder="1" applyAlignment="1" applyProtection="1">
      <alignment horizontal="left" vertical="top"/>
    </xf>
    <xf numFmtId="0" fontId="1" fillId="0" borderId="0" xfId="0" applyFont="1" applyAlignment="1" applyProtection="1">
      <alignment horizontal="center" vertical="center"/>
    </xf>
    <xf numFmtId="0" fontId="5" fillId="0" borderId="12" xfId="0" applyFont="1" applyBorder="1" applyAlignment="1" applyProtection="1">
      <alignment horizontal="right" vertical="top"/>
    </xf>
    <xf numFmtId="0" fontId="5" fillId="0" borderId="4" xfId="0" applyFont="1" applyBorder="1" applyAlignment="1" applyProtection="1">
      <alignment horizontal="left" vertical="top" wrapText="1"/>
    </xf>
    <xf numFmtId="0" fontId="11" fillId="0" borderId="4" xfId="0" applyFont="1" applyBorder="1" applyAlignment="1" applyProtection="1">
      <alignment wrapText="1"/>
    </xf>
    <xf numFmtId="0" fontId="8" fillId="0" borderId="11" xfId="0" applyFont="1" applyFill="1" applyBorder="1" applyAlignment="1" applyProtection="1">
      <alignment horizontal="left" vertical="top" wrapText="1"/>
    </xf>
    <xf numFmtId="0" fontId="5" fillId="0" borderId="7" xfId="0" applyFont="1" applyBorder="1" applyAlignment="1" applyProtection="1">
      <alignment horizontal="right" vertical="top"/>
    </xf>
    <xf numFmtId="0" fontId="8" fillId="0" borderId="4" xfId="0" applyFont="1" applyBorder="1" applyAlignment="1" applyProtection="1">
      <alignment horizontal="left" vertical="top" wrapText="1"/>
    </xf>
    <xf numFmtId="0" fontId="5" fillId="0" borderId="5" xfId="0" applyFont="1" applyBorder="1" applyAlignment="1" applyProtection="1">
      <alignment horizontal="right" vertical="top"/>
    </xf>
    <xf numFmtId="0" fontId="1" fillId="0" borderId="6" xfId="0" applyFont="1" applyBorder="1" applyAlignment="1" applyProtection="1">
      <alignment horizontal="left" vertical="top" wrapText="1"/>
    </xf>
    <xf numFmtId="0" fontId="5" fillId="0" borderId="0" xfId="0" applyFont="1" applyAlignment="1" applyProtection="1">
      <alignment horizontal="right" vertical="top"/>
    </xf>
    <xf numFmtId="0" fontId="5" fillId="0" borderId="0" xfId="0" applyFont="1" applyAlignment="1" applyProtection="1">
      <alignment horizontal="left" vertical="top"/>
    </xf>
    <xf numFmtId="0" fontId="0" fillId="0" borderId="0" xfId="0" applyAlignment="1" applyProtection="1">
      <alignment horizontal="right" vertical="top"/>
    </xf>
    <xf numFmtId="0" fontId="0" fillId="0" borderId="0" xfId="0" applyAlignment="1" applyProtection="1">
      <alignment horizontal="left" vertical="top"/>
    </xf>
    <xf numFmtId="0" fontId="14" fillId="0" borderId="6" xfId="0" applyFont="1" applyBorder="1" applyAlignment="1" applyProtection="1">
      <alignment horizontal="left" vertical="top" wrapText="1"/>
    </xf>
    <xf numFmtId="0" fontId="0" fillId="0" borderId="0" xfId="0" applyBorder="1"/>
    <xf numFmtId="0" fontId="1" fillId="0" borderId="0" xfId="0" applyFont="1" applyBorder="1" applyAlignment="1">
      <alignment horizontal="right" vertical="center"/>
    </xf>
    <xf numFmtId="0" fontId="0" fillId="0" borderId="17" xfId="0" applyBorder="1" applyAlignment="1">
      <alignment horizontal="left" vertical="center"/>
    </xf>
    <xf numFmtId="0" fontId="15" fillId="0" borderId="0" xfId="0" applyFont="1"/>
    <xf numFmtId="0" fontId="0" fillId="0" borderId="17" xfId="0" applyBorder="1" applyAlignment="1" applyProtection="1">
      <alignment horizontal="left" vertical="center"/>
      <protection locked="0"/>
    </xf>
    <xf numFmtId="0" fontId="15" fillId="0" borderId="0" xfId="0" applyFont="1" applyProtection="1">
      <protection locked="0"/>
    </xf>
    <xf numFmtId="0" fontId="9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7" fillId="0" borderId="7" xfId="0" applyFont="1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17" fillId="3" borderId="16" xfId="0" applyFont="1" applyFill="1" applyBorder="1" applyAlignment="1">
      <alignment horizontal="center" vertical="center"/>
    </xf>
  </cellXfs>
  <cellStyles count="3">
    <cellStyle name="Обычный" xfId="0" builtinId="0"/>
    <cellStyle name="Тысячи [0]_Диалог Накладная" xfId="1"/>
    <cellStyle name="Тысячи_Диалог Накладная" xfId="2"/>
  </cellStyles>
  <dxfs count="2">
    <dxf>
      <font>
        <b val="0"/>
        <i val="0"/>
        <color auto="1"/>
      </font>
    </dxf>
    <dxf>
      <font>
        <b val="0"/>
        <i val="0"/>
        <color auto="1"/>
      </font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fmlaLink="$I$1" lockText="1"/>
</file>

<file path=xl/ctrlProps/ctrlProp2.xml><?xml version="1.0" encoding="utf-8"?>
<formControlPr xmlns="http://schemas.microsoft.com/office/spreadsheetml/2009/9/main" objectType="CheckBox" fmlaLink="$I$2" lockText="1"/>
</file>

<file path=xl/ctrlProps/ctrlProp3.xml><?xml version="1.0" encoding="utf-8"?>
<formControlPr xmlns="http://schemas.microsoft.com/office/spreadsheetml/2009/9/main" objectType="CheckBox" fmlaLink="$I$3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370319</xdr:colOff>
      <xdr:row>3</xdr:row>
      <xdr:rowOff>599985</xdr:rowOff>
    </xdr:from>
    <xdr:ext cx="2590444" cy="564740"/>
    <xdr:sp macro="[0]!ОбновитьПостановление" textlink="">
      <xdr:nvSpPr>
        <xdr:cNvPr id="2" name="Скругленный прямоугольник 1" descr="Форматирование постановления об АП, в соответствии с требованиями КоАП РФ" title="Кнопка: ОБНОВИТЬ ПОСТАНОВЛЕНИЕ"/>
        <xdr:cNvSpPr/>
      </xdr:nvSpPr>
      <xdr:spPr>
        <a:xfrm>
          <a:off x="370319" y="1205312"/>
          <a:ext cx="2590444" cy="56474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l"/>
          <a:r>
            <a:rPr lang="ru-RU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Обновить постановление...</a:t>
          </a:r>
        </a:p>
      </xdr:txBody>
    </xdr:sp>
    <xdr:clientData/>
  </xdr:oneCellAnchor>
  <xdr:oneCellAnchor>
    <xdr:from>
      <xdr:col>0</xdr:col>
      <xdr:colOff>356074</xdr:colOff>
      <xdr:row>1</xdr:row>
      <xdr:rowOff>178038</xdr:rowOff>
    </xdr:from>
    <xdr:ext cx="2590444" cy="564740"/>
    <xdr:sp macro="[0]!ОбновитьПротокол" textlink="">
      <xdr:nvSpPr>
        <xdr:cNvPr id="4" name="Скругленный прямоугольник 3" descr="Форматирование протокола, в соответствии с требованиями КоАП РФ" title="Кнопка: ОБНОВИТЬ ПРОТОКОЛ"/>
        <xdr:cNvSpPr/>
      </xdr:nvSpPr>
      <xdr:spPr>
        <a:xfrm>
          <a:off x="356074" y="370318"/>
          <a:ext cx="2590444" cy="56474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l"/>
          <a:r>
            <a:rPr lang="ru-RU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Обновить протокол...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106680</xdr:colOff>
          <xdr:row>0</xdr:row>
          <xdr:rowOff>38100</xdr:rowOff>
        </xdr:from>
        <xdr:to>
          <xdr:col>5</xdr:col>
          <xdr:colOff>548640</xdr:colOff>
          <xdr:row>0</xdr:row>
          <xdr:rowOff>304800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Открывать файлы постановлений и протоколов автоматически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106680</xdr:colOff>
          <xdr:row>1</xdr:row>
          <xdr:rowOff>38100</xdr:rowOff>
        </xdr:from>
        <xdr:to>
          <xdr:col>5</xdr:col>
          <xdr:colOff>548640</xdr:colOff>
          <xdr:row>1</xdr:row>
          <xdr:rowOff>304800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Удалять шаблоны после формирования документов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106680</xdr:colOff>
          <xdr:row>2</xdr:row>
          <xdr:rowOff>38100</xdr:rowOff>
        </xdr:from>
        <xdr:to>
          <xdr:col>5</xdr:col>
          <xdr:colOff>548640</xdr:colOff>
          <xdr:row>2</xdr:row>
          <xdr:rowOff>304800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Печатать документы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T5"/>
  <sheetViews>
    <sheetView showGridLines="0" showRowColHeaders="0" tabSelected="1" zoomScale="107" zoomScaleNormal="107" workbookViewId="0"/>
  </sheetViews>
  <sheetFormatPr defaultColWidth="9.109375" defaultRowHeight="15" x14ac:dyDescent="0.25"/>
  <cols>
    <col min="1" max="1" width="22.6640625" style="2" customWidth="1"/>
    <col min="2" max="2" width="9.109375" style="1"/>
    <col min="3" max="3" width="4.5546875" style="1" customWidth="1"/>
    <col min="4" max="4" width="2.6640625" style="1" customWidth="1"/>
    <col min="5" max="5" width="2.77734375" style="1" customWidth="1"/>
    <col min="6" max="6" width="3" style="1" customWidth="1"/>
    <col min="7" max="7" width="1.6640625" style="1" customWidth="1"/>
    <col min="8" max="8" width="36.88671875" style="15" customWidth="1"/>
    <col min="9" max="9" width="75.6640625" style="1" customWidth="1"/>
    <col min="10" max="10" width="9.109375" style="1"/>
    <col min="11" max="11" width="9.109375" style="1" customWidth="1"/>
    <col min="12" max="19" width="9.109375" style="1"/>
    <col min="20" max="20" width="20.44140625" style="2" customWidth="1"/>
    <col min="21" max="21" width="37" style="1" customWidth="1"/>
    <col min="22" max="16384" width="9.109375" style="1"/>
  </cols>
  <sheetData>
    <row r="1" spans="1:20" ht="15.6" thickBot="1" x14ac:dyDescent="0.3">
      <c r="A1" s="61" t="s">
        <v>65</v>
      </c>
    </row>
    <row r="2" spans="1:20" ht="17.399999999999999" x14ac:dyDescent="0.3">
      <c r="H2" s="14" t="s">
        <v>23</v>
      </c>
      <c r="I2" s="21" t="s">
        <v>32</v>
      </c>
    </row>
    <row r="3" spans="1:20" x14ac:dyDescent="0.25">
      <c r="S3" s="2"/>
      <c r="T3" s="1"/>
    </row>
    <row r="4" spans="1:20" ht="96" customHeight="1" x14ac:dyDescent="0.25">
      <c r="H4" s="16" t="s">
        <v>24</v>
      </c>
      <c r="I4" s="20" t="str">
        <f ca="1">INDIRECT(ADDRESS((MATCH($I$2,Статьи,0)+2),2,,1,"Справочники"))</f>
        <v>допустил(а) остановку/стоянку своего автомобиля далее первого ряда от края проезжей части,</v>
      </c>
      <c r="J4" s="17">
        <f ca="1">INDIRECT(ADDRESS((MATCH($I$2,Статьи,0)+2),3,,1,"Справочники"))</f>
        <v>0</v>
      </c>
      <c r="K4" s="17">
        <f ca="1">INDIRECT(ADDRESS((MATCH($I$2,Статьи,0)+2),4,,1,"Справочники"))</f>
        <v>1</v>
      </c>
    </row>
    <row r="5" spans="1:20" x14ac:dyDescent="0.25">
      <c r="H5" s="18" t="s">
        <v>38</v>
      </c>
      <c r="I5" s="19">
        <v>3</v>
      </c>
    </row>
  </sheetData>
  <sheetProtection password="C465" sheet="1" objects="1" scenarios="1"/>
  <phoneticPr fontId="3" type="noConversion"/>
  <conditionalFormatting sqref="I2">
    <cfRule type="expression" priority="4">
      <formula>ПУСТО</formula>
    </cfRule>
  </conditionalFormatting>
  <conditionalFormatting sqref="I5">
    <cfRule type="expression" dxfId="1" priority="2">
      <formula>VALUE($J$4)=1</formula>
    </cfRule>
  </conditionalFormatting>
  <conditionalFormatting sqref="H5">
    <cfRule type="expression" dxfId="0" priority="1">
      <formula>VALUE($J$4)=1</formula>
    </cfRule>
  </conditionalFormatting>
  <dataValidations count="1">
    <dataValidation type="list" showInputMessage="1" showErrorMessage="1" errorTitle="Выберите только из списка" error="Выбор значений только из списка" promptTitle="Выберите статью КоАП РФ" sqref="I2">
      <formula1>Статьи</formula1>
    </dataValidation>
  </dataValidations>
  <pageMargins left="0.75" right="0.75" top="1" bottom="1" header="0.5" footer="0.5"/>
  <pageSetup paperSize="9" orientation="portrait" verticalDpi="300" r:id="rId1"/>
  <headerFooter alignWithMargins="0"/>
  <ignoredErrors>
    <ignoredError sqref="I4" unlocked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G1:I13"/>
  <sheetViews>
    <sheetView showGridLines="0" showRowColHeaders="0" workbookViewId="0">
      <selection activeCell="C34" sqref="C34"/>
    </sheetView>
  </sheetViews>
  <sheetFormatPr defaultRowHeight="13.2" x14ac:dyDescent="0.25"/>
  <cols>
    <col min="7" max="7" width="30.5546875" customWidth="1"/>
    <col min="8" max="8" width="73.5546875" customWidth="1"/>
  </cols>
  <sheetData>
    <row r="1" spans="7:9" ht="27" customHeight="1" x14ac:dyDescent="0.25">
      <c r="G1" s="52" t="s">
        <v>60</v>
      </c>
      <c r="H1" s="55" t="s">
        <v>61</v>
      </c>
      <c r="I1" s="56" t="b">
        <v>0</v>
      </c>
    </row>
    <row r="2" spans="7:9" ht="27" customHeight="1" x14ac:dyDescent="0.25">
      <c r="G2" s="52" t="s">
        <v>62</v>
      </c>
      <c r="H2" s="55" t="s">
        <v>63</v>
      </c>
      <c r="I2" s="56" t="b">
        <v>0</v>
      </c>
    </row>
    <row r="3" spans="7:9" ht="27" customHeight="1" x14ac:dyDescent="0.25">
      <c r="G3" s="52" t="s">
        <v>59</v>
      </c>
      <c r="H3" s="53">
        <v>2</v>
      </c>
      <c r="I3" s="54" t="b">
        <v>0</v>
      </c>
    </row>
    <row r="4" spans="7:9" x14ac:dyDescent="0.25">
      <c r="G4" s="51"/>
      <c r="H4" s="51"/>
    </row>
    <row r="5" spans="7:9" x14ac:dyDescent="0.25">
      <c r="G5" s="51"/>
      <c r="H5" s="51"/>
    </row>
    <row r="6" spans="7:9" x14ac:dyDescent="0.25">
      <c r="G6" s="51"/>
      <c r="H6" s="51"/>
    </row>
    <row r="7" spans="7:9" x14ac:dyDescent="0.25">
      <c r="G7" s="51"/>
      <c r="H7" s="51"/>
    </row>
    <row r="8" spans="7:9" x14ac:dyDescent="0.25">
      <c r="G8" s="51"/>
      <c r="H8" s="51"/>
    </row>
    <row r="9" spans="7:9" x14ac:dyDescent="0.25">
      <c r="G9" s="51"/>
      <c r="H9" s="51"/>
    </row>
    <row r="10" spans="7:9" x14ac:dyDescent="0.25">
      <c r="G10" s="51"/>
      <c r="H10" s="51"/>
    </row>
    <row r="11" spans="7:9" x14ac:dyDescent="0.25">
      <c r="G11" s="51"/>
      <c r="H11" s="51"/>
    </row>
    <row r="12" spans="7:9" x14ac:dyDescent="0.25">
      <c r="G12" s="51"/>
      <c r="H12" s="51"/>
    </row>
    <row r="13" spans="7:9" x14ac:dyDescent="0.25">
      <c r="G13" s="51"/>
      <c r="H13" s="51"/>
    </row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locked="0" defaultSize="0" print="0" autoFill="0" autoLine="0" autoPict="0">
                <anchor>
                  <from>
                    <xdr:col>0</xdr:col>
                    <xdr:colOff>106680</xdr:colOff>
                    <xdr:row>0</xdr:row>
                    <xdr:rowOff>38100</xdr:rowOff>
                  </from>
                  <to>
                    <xdr:col>5</xdr:col>
                    <xdr:colOff>548640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Check Box 3">
              <controlPr locked="0" defaultSize="0" print="0" autoFill="0" autoLine="0" autoPict="0">
                <anchor>
                  <from>
                    <xdr:col>0</xdr:col>
                    <xdr:colOff>106680</xdr:colOff>
                    <xdr:row>1</xdr:row>
                    <xdr:rowOff>38100</xdr:rowOff>
                  </from>
                  <to>
                    <xdr:col>5</xdr:col>
                    <xdr:colOff>548640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print="0" autoFill="0" autoLine="0" autoPict="0">
                <anchor>
                  <from>
                    <xdr:col>0</xdr:col>
                    <xdr:colOff>106680</xdr:colOff>
                    <xdr:row>2</xdr:row>
                    <xdr:rowOff>38100</xdr:rowOff>
                  </from>
                  <to>
                    <xdr:col>5</xdr:col>
                    <xdr:colOff>548640</xdr:colOff>
                    <xdr:row>2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U14"/>
  <sheetViews>
    <sheetView showGridLines="0" showRowColHeaders="0" zoomScale="113" zoomScaleNormal="113" workbookViewId="0">
      <selection activeCell="D13" sqref="D13"/>
    </sheetView>
  </sheetViews>
  <sheetFormatPr defaultColWidth="9.109375" defaultRowHeight="15.6" x14ac:dyDescent="0.3"/>
  <cols>
    <col min="1" max="1" width="60.44140625" style="7" customWidth="1"/>
    <col min="2" max="2" width="143.109375" style="6" customWidth="1"/>
    <col min="3" max="21" width="9.109375" style="6"/>
    <col min="22" max="16384" width="9.109375" style="1"/>
  </cols>
  <sheetData>
    <row r="1" spans="1:21" s="3" customFormat="1" ht="16.2" thickBot="1" x14ac:dyDescent="0.3">
      <c r="A1" s="57" t="s">
        <v>17</v>
      </c>
      <c r="B1" s="58"/>
    </row>
    <row r="2" spans="1:21" s="3" customFormat="1" x14ac:dyDescent="0.25">
      <c r="A2" s="4" t="s">
        <v>18</v>
      </c>
      <c r="B2" s="5" t="s">
        <v>19</v>
      </c>
    </row>
    <row r="3" spans="1:21" s="3" customFormat="1" ht="30" x14ac:dyDescent="0.25">
      <c r="A3" s="25" t="s">
        <v>46</v>
      </c>
      <c r="B3" s="26" t="s">
        <v>22</v>
      </c>
      <c r="C3" s="2">
        <v>0</v>
      </c>
      <c r="D3" s="3">
        <v>0</v>
      </c>
    </row>
    <row r="4" spans="1:21" s="9" customFormat="1" ht="30" customHeight="1" x14ac:dyDescent="0.25">
      <c r="A4" s="10" t="s">
        <v>28</v>
      </c>
      <c r="B4" s="12" t="s">
        <v>10</v>
      </c>
      <c r="C4" s="8">
        <v>0</v>
      </c>
      <c r="D4" s="8">
        <v>0</v>
      </c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</row>
    <row r="5" spans="1:21" s="9" customFormat="1" ht="30" customHeight="1" x14ac:dyDescent="0.25">
      <c r="A5" s="10" t="s">
        <v>29</v>
      </c>
      <c r="B5" s="12" t="s">
        <v>11</v>
      </c>
      <c r="C5" s="8">
        <v>0</v>
      </c>
      <c r="D5" s="8">
        <v>0</v>
      </c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</row>
    <row r="6" spans="1:21" s="9" customFormat="1" ht="30" customHeight="1" x14ac:dyDescent="0.25">
      <c r="A6" s="10" t="s">
        <v>30</v>
      </c>
      <c r="B6" s="12" t="s">
        <v>12</v>
      </c>
      <c r="C6" s="8">
        <v>0</v>
      </c>
      <c r="D6" s="8">
        <v>0</v>
      </c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</row>
    <row r="7" spans="1:21" s="9" customFormat="1" ht="30" customHeight="1" x14ac:dyDescent="0.25">
      <c r="A7" s="10" t="s">
        <v>31</v>
      </c>
      <c r="B7" s="12" t="s">
        <v>13</v>
      </c>
      <c r="C7" s="8">
        <v>0</v>
      </c>
      <c r="D7" s="8">
        <v>0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</row>
    <row r="8" spans="1:21" s="9" customFormat="1" ht="30" customHeight="1" x14ac:dyDescent="0.25">
      <c r="A8" s="10" t="s">
        <v>26</v>
      </c>
      <c r="B8" s="12" t="s">
        <v>20</v>
      </c>
      <c r="C8" s="8">
        <v>0</v>
      </c>
      <c r="D8" s="8">
        <v>0</v>
      </c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</row>
    <row r="9" spans="1:21" s="9" customFormat="1" ht="30" customHeight="1" x14ac:dyDescent="0.25">
      <c r="A9" s="10" t="s">
        <v>27</v>
      </c>
      <c r="B9" s="12" t="s">
        <v>39</v>
      </c>
      <c r="C9" s="8">
        <v>1</v>
      </c>
      <c r="D9" s="8">
        <v>0</v>
      </c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</row>
    <row r="10" spans="1:21" s="9" customFormat="1" ht="30" customHeight="1" x14ac:dyDescent="0.25">
      <c r="A10" s="10" t="s">
        <v>25</v>
      </c>
      <c r="B10" s="12" t="s">
        <v>9</v>
      </c>
      <c r="C10" s="8">
        <v>0</v>
      </c>
      <c r="D10" s="8">
        <v>0</v>
      </c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</row>
    <row r="11" spans="1:21" s="9" customFormat="1" ht="30" customHeight="1" x14ac:dyDescent="0.25">
      <c r="A11" s="10" t="s">
        <v>34</v>
      </c>
      <c r="B11" s="12" t="s">
        <v>21</v>
      </c>
      <c r="C11" s="8">
        <v>0</v>
      </c>
      <c r="D11" s="8">
        <v>0</v>
      </c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</row>
    <row r="12" spans="1:21" s="9" customFormat="1" ht="30" customHeight="1" x14ac:dyDescent="0.25">
      <c r="A12" s="10" t="s">
        <v>35</v>
      </c>
      <c r="B12" s="12" t="s">
        <v>40</v>
      </c>
      <c r="C12" s="8">
        <v>1</v>
      </c>
      <c r="D12" s="8">
        <v>0</v>
      </c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</row>
    <row r="13" spans="1:21" s="9" customFormat="1" ht="30" customHeight="1" x14ac:dyDescent="0.25">
      <c r="A13" s="10" t="s">
        <v>32</v>
      </c>
      <c r="B13" s="12" t="s">
        <v>14</v>
      </c>
      <c r="C13" s="8">
        <v>0</v>
      </c>
      <c r="D13" s="8">
        <v>1</v>
      </c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</row>
    <row r="14" spans="1:21" s="9" customFormat="1" ht="30" customHeight="1" thickBot="1" x14ac:dyDescent="0.3">
      <c r="A14" s="11" t="s">
        <v>33</v>
      </c>
      <c r="B14" s="13" t="s">
        <v>15</v>
      </c>
      <c r="C14" s="8">
        <v>0</v>
      </c>
      <c r="D14" s="8">
        <v>0</v>
      </c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</row>
  </sheetData>
  <sheetProtection sheet="1" objects="1" scenarios="1"/>
  <sortState ref="A3:C15">
    <sortCondition ref="A3"/>
  </sortState>
  <mergeCells count="1">
    <mergeCell ref="A1:B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43"/>
  <sheetViews>
    <sheetView showGridLines="0" showRowColHeaders="0" workbookViewId="0">
      <selection activeCell="A10" sqref="A10"/>
    </sheetView>
  </sheetViews>
  <sheetFormatPr defaultRowHeight="13.2" x14ac:dyDescent="0.25"/>
  <cols>
    <col min="1" max="1" width="103.109375" style="48" customWidth="1"/>
    <col min="2" max="2" width="103.109375" style="49" customWidth="1"/>
    <col min="3" max="16384" width="8.88671875" style="27"/>
  </cols>
  <sheetData>
    <row r="1" spans="1:2" ht="22.8" x14ac:dyDescent="0.25">
      <c r="A1" s="59" t="s">
        <v>0</v>
      </c>
      <c r="B1" s="60"/>
    </row>
    <row r="2" spans="1:2" s="30" customFormat="1" ht="17.399999999999999" x14ac:dyDescent="0.3">
      <c r="A2" s="28" t="s">
        <v>36</v>
      </c>
      <c r="B2" s="29" t="b">
        <v>0</v>
      </c>
    </row>
    <row r="3" spans="1:2" x14ac:dyDescent="0.25">
      <c r="A3" s="31"/>
      <c r="B3" s="32"/>
    </row>
    <row r="4" spans="1:2" s="30" customFormat="1" ht="18" thickBot="1" x14ac:dyDescent="0.35">
      <c r="A4" s="33"/>
      <c r="B4" s="34"/>
    </row>
    <row r="5" spans="1:2" s="37" customFormat="1" ht="18" thickBot="1" x14ac:dyDescent="0.3">
      <c r="A5" s="35" t="s">
        <v>1</v>
      </c>
      <c r="B5" s="36" t="s">
        <v>2</v>
      </c>
    </row>
    <row r="6" spans="1:2" ht="17.399999999999999" x14ac:dyDescent="0.25">
      <c r="A6" s="38" t="s">
        <v>3</v>
      </c>
      <c r="B6" s="22" t="s">
        <v>37</v>
      </c>
    </row>
    <row r="7" spans="1:2" s="30" customFormat="1" ht="34.799999999999997" x14ac:dyDescent="0.3">
      <c r="A7" s="28" t="s">
        <v>5</v>
      </c>
      <c r="B7" s="23" t="s">
        <v>44</v>
      </c>
    </row>
    <row r="8" spans="1:2" s="30" customFormat="1" ht="27" x14ac:dyDescent="0.3">
      <c r="A8" s="28" t="s">
        <v>4</v>
      </c>
      <c r="B8" s="40" t="str">
        <f ca="1">CONCATENATE("ПДД РФ, а именно, ",Фабула)</f>
        <v>ПДД РФ, а именно, допустил(а) остановку/стоянку своего автомобиля далее первого ряда от края проезжей части,</v>
      </c>
    </row>
    <row r="9" spans="1:2" s="30" customFormat="1" ht="17.399999999999999" x14ac:dyDescent="0.3">
      <c r="A9" s="28" t="s">
        <v>41</v>
      </c>
      <c r="B9" s="23" t="s">
        <v>42</v>
      </c>
    </row>
    <row r="10" spans="1:2" s="30" customFormat="1" ht="17.399999999999999" x14ac:dyDescent="0.3">
      <c r="A10" s="28" t="s">
        <v>64</v>
      </c>
      <c r="B10" s="39" t="s">
        <v>45</v>
      </c>
    </row>
    <row r="11" spans="1:2" s="30" customFormat="1" ht="17.399999999999999" x14ac:dyDescent="0.3">
      <c r="A11" s="28"/>
      <c r="B11" s="39"/>
    </row>
    <row r="12" spans="1:2" s="30" customFormat="1" ht="17.399999999999999" x14ac:dyDescent="0.3">
      <c r="A12" s="28"/>
      <c r="B12" s="39"/>
    </row>
    <row r="13" spans="1:2" s="30" customFormat="1" ht="17.399999999999999" x14ac:dyDescent="0.3">
      <c r="A13" s="28"/>
      <c r="B13" s="39"/>
    </row>
    <row r="14" spans="1:2" s="30" customFormat="1" ht="17.399999999999999" x14ac:dyDescent="0.3">
      <c r="A14" s="28"/>
      <c r="B14" s="39"/>
    </row>
    <row r="15" spans="1:2" s="30" customFormat="1" ht="18" thickBot="1" x14ac:dyDescent="0.35">
      <c r="A15" s="33"/>
      <c r="B15" s="41"/>
    </row>
    <row r="16" spans="1:2" s="30" customFormat="1" ht="17.399999999999999" x14ac:dyDescent="0.3">
      <c r="A16" s="42" t="s">
        <v>6</v>
      </c>
      <c r="B16" s="24" t="s">
        <v>8</v>
      </c>
    </row>
    <row r="17" spans="1:2" s="30" customFormat="1" ht="17.399999999999999" x14ac:dyDescent="0.3">
      <c r="A17" s="28" t="s">
        <v>7</v>
      </c>
      <c r="B17" s="23" t="s">
        <v>8</v>
      </c>
    </row>
    <row r="18" spans="1:2" s="30" customFormat="1" ht="40.200000000000003" thickBot="1" x14ac:dyDescent="0.35">
      <c r="A18" s="44" t="s">
        <v>43</v>
      </c>
      <c r="B18" s="50" t="s">
        <v>16</v>
      </c>
    </row>
    <row r="19" spans="1:2" s="30" customFormat="1" ht="17.399999999999999" x14ac:dyDescent="0.3">
      <c r="A19" s="46"/>
      <c r="B19" s="47"/>
    </row>
    <row r="20" spans="1:2" s="30" customFormat="1" ht="17.399999999999999" x14ac:dyDescent="0.3">
      <c r="A20" s="46"/>
      <c r="B20" s="47"/>
    </row>
    <row r="21" spans="1:2" s="30" customFormat="1" ht="17.399999999999999" x14ac:dyDescent="0.3">
      <c r="A21" s="46"/>
      <c r="B21" s="47"/>
    </row>
    <row r="22" spans="1:2" s="30" customFormat="1" ht="17.399999999999999" x14ac:dyDescent="0.3">
      <c r="A22" s="46"/>
      <c r="B22" s="47"/>
    </row>
    <row r="23" spans="1:2" s="30" customFormat="1" ht="17.399999999999999" x14ac:dyDescent="0.3">
      <c r="A23" s="46"/>
      <c r="B23" s="47"/>
    </row>
    <row r="24" spans="1:2" s="30" customFormat="1" ht="17.399999999999999" x14ac:dyDescent="0.3">
      <c r="A24" s="46"/>
      <c r="B24" s="47"/>
    </row>
    <row r="25" spans="1:2" s="30" customFormat="1" ht="17.399999999999999" x14ac:dyDescent="0.3">
      <c r="A25" s="46"/>
      <c r="B25" s="47"/>
    </row>
    <row r="26" spans="1:2" s="30" customFormat="1" ht="17.399999999999999" x14ac:dyDescent="0.3">
      <c r="A26" s="46"/>
      <c r="B26" s="47"/>
    </row>
    <row r="27" spans="1:2" s="30" customFormat="1" ht="17.399999999999999" x14ac:dyDescent="0.3">
      <c r="A27" s="46"/>
      <c r="B27" s="47"/>
    </row>
    <row r="28" spans="1:2" s="30" customFormat="1" ht="17.399999999999999" x14ac:dyDescent="0.3">
      <c r="A28" s="46"/>
      <c r="B28" s="47"/>
    </row>
    <row r="29" spans="1:2" s="30" customFormat="1" ht="17.399999999999999" x14ac:dyDescent="0.3">
      <c r="A29" s="46"/>
      <c r="B29" s="47"/>
    </row>
    <row r="30" spans="1:2" s="30" customFormat="1" ht="17.399999999999999" x14ac:dyDescent="0.3">
      <c r="A30" s="46"/>
      <c r="B30" s="47"/>
    </row>
    <row r="31" spans="1:2" s="30" customFormat="1" ht="17.399999999999999" x14ac:dyDescent="0.3">
      <c r="A31" s="46"/>
      <c r="B31" s="47"/>
    </row>
    <row r="32" spans="1:2" s="30" customFormat="1" ht="17.399999999999999" x14ac:dyDescent="0.3">
      <c r="A32" s="46"/>
      <c r="B32" s="47"/>
    </row>
    <row r="33" spans="1:2" s="30" customFormat="1" ht="17.399999999999999" x14ac:dyDescent="0.3">
      <c r="A33" s="46"/>
      <c r="B33" s="47"/>
    </row>
    <row r="34" spans="1:2" s="30" customFormat="1" ht="17.399999999999999" x14ac:dyDescent="0.3">
      <c r="A34" s="46"/>
      <c r="B34" s="47"/>
    </row>
    <row r="35" spans="1:2" s="30" customFormat="1" ht="17.399999999999999" x14ac:dyDescent="0.3">
      <c r="A35" s="46"/>
      <c r="B35" s="47"/>
    </row>
    <row r="36" spans="1:2" s="30" customFormat="1" ht="17.399999999999999" x14ac:dyDescent="0.3">
      <c r="A36" s="46"/>
      <c r="B36" s="47"/>
    </row>
    <row r="37" spans="1:2" s="30" customFormat="1" ht="17.399999999999999" x14ac:dyDescent="0.3">
      <c r="A37" s="46"/>
      <c r="B37" s="47"/>
    </row>
    <row r="38" spans="1:2" s="30" customFormat="1" ht="17.399999999999999" x14ac:dyDescent="0.3">
      <c r="A38" s="46"/>
      <c r="B38" s="47"/>
    </row>
    <row r="39" spans="1:2" s="30" customFormat="1" ht="17.399999999999999" x14ac:dyDescent="0.3">
      <c r="A39" s="46"/>
      <c r="B39" s="47"/>
    </row>
    <row r="40" spans="1:2" s="30" customFormat="1" ht="17.399999999999999" x14ac:dyDescent="0.3">
      <c r="A40" s="46"/>
      <c r="B40" s="47"/>
    </row>
    <row r="41" spans="1:2" s="30" customFormat="1" ht="17.399999999999999" x14ac:dyDescent="0.3">
      <c r="A41" s="46"/>
      <c r="B41" s="47"/>
    </row>
    <row r="42" spans="1:2" s="30" customFormat="1" ht="17.399999999999999" x14ac:dyDescent="0.3">
      <c r="A42" s="46"/>
      <c r="B42" s="47"/>
    </row>
    <row r="43" spans="1:2" s="30" customFormat="1" ht="17.399999999999999" x14ac:dyDescent="0.3">
      <c r="A43" s="46"/>
      <c r="B43" s="47"/>
    </row>
  </sheetData>
  <sheetProtection sheet="1" objects="1" scenarios="1"/>
  <mergeCells count="1">
    <mergeCell ref="A1:B1"/>
  </mergeCells>
  <dataValidations count="1">
    <dataValidation type="list" showInputMessage="1" showErrorMessage="1" promptTitle="Выводить на печать документ" prompt="Вывести сразу документ на печать?" sqref="B2">
      <formula1>"да,нет"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B43"/>
  <sheetViews>
    <sheetView showGridLines="0" showRowColHeaders="0" workbookViewId="0">
      <selection activeCell="A10" sqref="A10"/>
    </sheetView>
  </sheetViews>
  <sheetFormatPr defaultRowHeight="13.2" x14ac:dyDescent="0.25"/>
  <cols>
    <col min="1" max="1" width="103.109375" style="48" customWidth="1"/>
    <col min="2" max="2" width="103.109375" style="49" customWidth="1"/>
    <col min="3" max="16384" width="8.88671875" style="27"/>
  </cols>
  <sheetData>
    <row r="1" spans="1:2" ht="22.8" x14ac:dyDescent="0.25">
      <c r="A1" s="59" t="s">
        <v>0</v>
      </c>
      <c r="B1" s="60"/>
    </row>
    <row r="2" spans="1:2" s="30" customFormat="1" ht="17.399999999999999" x14ac:dyDescent="0.3">
      <c r="A2" s="28" t="s">
        <v>36</v>
      </c>
      <c r="B2" s="29" t="b">
        <v>0</v>
      </c>
    </row>
    <row r="3" spans="1:2" x14ac:dyDescent="0.25">
      <c r="A3" s="31"/>
      <c r="B3" s="32"/>
    </row>
    <row r="4" spans="1:2" s="30" customFormat="1" ht="18" thickBot="1" x14ac:dyDescent="0.35">
      <c r="A4" s="33"/>
      <c r="B4" s="34"/>
    </row>
    <row r="5" spans="1:2" s="37" customFormat="1" ht="18" thickBot="1" x14ac:dyDescent="0.3">
      <c r="A5" s="35" t="s">
        <v>1</v>
      </c>
      <c r="B5" s="36" t="s">
        <v>2</v>
      </c>
    </row>
    <row r="6" spans="1:2" ht="17.399999999999999" x14ac:dyDescent="0.25">
      <c r="A6" s="38" t="s">
        <v>3</v>
      </c>
      <c r="B6" s="22" t="s">
        <v>37</v>
      </c>
    </row>
    <row r="7" spans="1:2" s="30" customFormat="1" ht="17.399999999999999" x14ac:dyDescent="0.3">
      <c r="A7" s="28" t="s">
        <v>50</v>
      </c>
      <c r="B7" s="23" t="s">
        <v>51</v>
      </c>
    </row>
    <row r="8" spans="1:2" s="30" customFormat="1" ht="27" x14ac:dyDescent="0.3">
      <c r="A8" s="28" t="s">
        <v>4</v>
      </c>
      <c r="B8" s="40" t="str">
        <f ca="1">CONCATENATE("ПДД РФ, а именно, ",Фабула)</f>
        <v>ПДД РФ, а именно, допустил(а) остановку/стоянку своего автомобиля далее первого ряда от края проезжей части,</v>
      </c>
    </row>
    <row r="9" spans="1:2" s="30" customFormat="1" ht="17.399999999999999" x14ac:dyDescent="0.3">
      <c r="A9" s="28" t="s">
        <v>55</v>
      </c>
      <c r="B9" s="23" t="s">
        <v>49</v>
      </c>
    </row>
    <row r="10" spans="1:2" s="30" customFormat="1" ht="17.399999999999999" x14ac:dyDescent="0.3">
      <c r="A10" s="28" t="s">
        <v>64</v>
      </c>
      <c r="B10" s="39" t="s">
        <v>45</v>
      </c>
    </row>
    <row r="11" spans="1:2" s="30" customFormat="1" ht="17.399999999999999" x14ac:dyDescent="0.3">
      <c r="A11" s="28" t="s">
        <v>54</v>
      </c>
      <c r="B11" s="23" t="s">
        <v>58</v>
      </c>
    </row>
    <row r="12" spans="1:2" s="30" customFormat="1" ht="17.399999999999999" x14ac:dyDescent="0.3">
      <c r="A12" s="28" t="s">
        <v>56</v>
      </c>
      <c r="B12" s="23" t="s">
        <v>57</v>
      </c>
    </row>
    <row r="13" spans="1:2" s="30" customFormat="1" ht="17.399999999999999" x14ac:dyDescent="0.3">
      <c r="A13" s="28"/>
      <c r="B13" s="39"/>
    </row>
    <row r="14" spans="1:2" s="30" customFormat="1" ht="17.399999999999999" x14ac:dyDescent="0.3">
      <c r="A14" s="28"/>
      <c r="B14" s="39"/>
    </row>
    <row r="15" spans="1:2" s="30" customFormat="1" ht="18" thickBot="1" x14ac:dyDescent="0.35">
      <c r="A15" s="33"/>
      <c r="B15" s="41"/>
    </row>
    <row r="16" spans="1:2" s="30" customFormat="1" ht="17.399999999999999" x14ac:dyDescent="0.3">
      <c r="A16" s="42" t="s">
        <v>47</v>
      </c>
      <c r="B16" s="24" t="s">
        <v>48</v>
      </c>
    </row>
    <row r="17" spans="1:2" s="30" customFormat="1" ht="17.399999999999999" x14ac:dyDescent="0.3">
      <c r="A17" s="28" t="s">
        <v>52</v>
      </c>
      <c r="B17" s="43" t="s">
        <v>53</v>
      </c>
    </row>
    <row r="18" spans="1:2" s="30" customFormat="1" ht="18" thickBot="1" x14ac:dyDescent="0.35">
      <c r="A18" s="44"/>
      <c r="B18" s="45"/>
    </row>
    <row r="19" spans="1:2" s="30" customFormat="1" ht="17.399999999999999" x14ac:dyDescent="0.3">
      <c r="A19" s="46"/>
      <c r="B19" s="47"/>
    </row>
    <row r="20" spans="1:2" s="30" customFormat="1" ht="17.399999999999999" x14ac:dyDescent="0.3">
      <c r="A20" s="46"/>
      <c r="B20" s="47"/>
    </row>
    <row r="21" spans="1:2" s="30" customFormat="1" ht="17.399999999999999" x14ac:dyDescent="0.3">
      <c r="A21" s="46"/>
      <c r="B21" s="47"/>
    </row>
    <row r="22" spans="1:2" s="30" customFormat="1" ht="17.399999999999999" x14ac:dyDescent="0.3">
      <c r="A22" s="46"/>
      <c r="B22" s="47"/>
    </row>
    <row r="23" spans="1:2" s="30" customFormat="1" ht="17.399999999999999" x14ac:dyDescent="0.3">
      <c r="A23" s="46"/>
      <c r="B23" s="47"/>
    </row>
    <row r="24" spans="1:2" s="30" customFormat="1" ht="17.399999999999999" x14ac:dyDescent="0.3">
      <c r="A24" s="46"/>
      <c r="B24" s="47"/>
    </row>
    <row r="25" spans="1:2" s="30" customFormat="1" ht="17.399999999999999" x14ac:dyDescent="0.3">
      <c r="A25" s="46"/>
      <c r="B25" s="47"/>
    </row>
    <row r="26" spans="1:2" s="30" customFormat="1" ht="17.399999999999999" x14ac:dyDescent="0.3">
      <c r="A26" s="46"/>
      <c r="B26" s="47"/>
    </row>
    <row r="27" spans="1:2" s="30" customFormat="1" ht="17.399999999999999" x14ac:dyDescent="0.3">
      <c r="A27" s="46"/>
      <c r="B27" s="47"/>
    </row>
    <row r="28" spans="1:2" s="30" customFormat="1" ht="17.399999999999999" x14ac:dyDescent="0.3">
      <c r="A28" s="46"/>
      <c r="B28" s="47"/>
    </row>
    <row r="29" spans="1:2" s="30" customFormat="1" ht="17.399999999999999" x14ac:dyDescent="0.3">
      <c r="A29" s="46"/>
      <c r="B29" s="47"/>
    </row>
    <row r="30" spans="1:2" s="30" customFormat="1" ht="17.399999999999999" x14ac:dyDescent="0.3">
      <c r="A30" s="46"/>
      <c r="B30" s="47"/>
    </row>
    <row r="31" spans="1:2" s="30" customFormat="1" ht="17.399999999999999" x14ac:dyDescent="0.3">
      <c r="A31" s="46"/>
      <c r="B31" s="47"/>
    </row>
    <row r="32" spans="1:2" s="30" customFormat="1" ht="17.399999999999999" x14ac:dyDescent="0.3">
      <c r="A32" s="46"/>
      <c r="B32" s="47"/>
    </row>
    <row r="33" spans="1:2" s="30" customFormat="1" ht="17.399999999999999" x14ac:dyDescent="0.3">
      <c r="A33" s="46"/>
      <c r="B33" s="47"/>
    </row>
    <row r="34" spans="1:2" s="30" customFormat="1" ht="17.399999999999999" x14ac:dyDescent="0.3">
      <c r="A34" s="46"/>
      <c r="B34" s="47"/>
    </row>
    <row r="35" spans="1:2" s="30" customFormat="1" ht="17.399999999999999" x14ac:dyDescent="0.3">
      <c r="A35" s="46"/>
      <c r="B35" s="47"/>
    </row>
    <row r="36" spans="1:2" s="30" customFormat="1" ht="17.399999999999999" x14ac:dyDescent="0.3">
      <c r="A36" s="46"/>
      <c r="B36" s="47"/>
    </row>
    <row r="37" spans="1:2" s="30" customFormat="1" ht="17.399999999999999" x14ac:dyDescent="0.3">
      <c r="A37" s="46"/>
      <c r="B37" s="47"/>
    </row>
    <row r="38" spans="1:2" s="30" customFormat="1" ht="17.399999999999999" x14ac:dyDescent="0.3">
      <c r="A38" s="46"/>
      <c r="B38" s="47"/>
    </row>
    <row r="39" spans="1:2" s="30" customFormat="1" ht="17.399999999999999" x14ac:dyDescent="0.3">
      <c r="A39" s="46"/>
      <c r="B39" s="47"/>
    </row>
    <row r="40" spans="1:2" s="30" customFormat="1" ht="17.399999999999999" x14ac:dyDescent="0.3">
      <c r="A40" s="46"/>
      <c r="B40" s="47"/>
    </row>
    <row r="41" spans="1:2" s="30" customFormat="1" ht="17.399999999999999" x14ac:dyDescent="0.3">
      <c r="A41" s="46"/>
      <c r="B41" s="47"/>
    </row>
    <row r="42" spans="1:2" s="30" customFormat="1" ht="17.399999999999999" x14ac:dyDescent="0.3">
      <c r="A42" s="46"/>
      <c r="B42" s="47"/>
    </row>
    <row r="43" spans="1:2" s="30" customFormat="1" ht="17.399999999999999" x14ac:dyDescent="0.3">
      <c r="A43" s="46"/>
      <c r="B43" s="47"/>
    </row>
  </sheetData>
  <sheetProtection sheet="1" objects="1" scenarios="1"/>
  <mergeCells count="1">
    <mergeCell ref="A1:B1"/>
  </mergeCells>
  <dataValidations count="1">
    <dataValidation type="list" showInputMessage="1" showErrorMessage="1" promptTitle="Выводить на печать документ" prompt="Вывести сразу документ на печать?" sqref="B2">
      <formula1>"да,нет"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2</vt:i4>
      </vt:variant>
    </vt:vector>
  </HeadingPairs>
  <TitlesOfParts>
    <vt:vector size="7" baseType="lpstr">
      <vt:lpstr>Управление</vt:lpstr>
      <vt:lpstr>Настройки</vt:lpstr>
      <vt:lpstr>Справочники</vt:lpstr>
      <vt:lpstr>Автозамена ПОСТАНОВЛЕНИЕ</vt:lpstr>
      <vt:lpstr>Автозамена ПРОТОКОЛ</vt:lpstr>
      <vt:lpstr>Статьи</vt:lpstr>
      <vt:lpstr>Фабула</vt:lpstr>
    </vt:vector>
  </TitlesOfParts>
  <Company>гузАОКБ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Формирование постановлений</dc:title>
  <dc:creator>Алексей Малиновский</dc:creator>
  <cp:lastModifiedBy>Малиновский А.В.</cp:lastModifiedBy>
  <dcterms:created xsi:type="dcterms:W3CDTF">2008-10-10T11:26:20Z</dcterms:created>
  <dcterms:modified xsi:type="dcterms:W3CDTF">2021-05-28T08:34:51Z</dcterms:modified>
  <cp:contentStatus/>
</cp:coreProperties>
</file>